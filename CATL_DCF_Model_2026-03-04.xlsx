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CF" sheetId="1" state="visible" r:id="rId1"/>
    <sheet xmlns:r="http://schemas.openxmlformats.org/officeDocument/2006/relationships" name="WACC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7">
    <font>
      <name val="Calibri"/>
      <family val="2"/>
      <color theme="1"/>
      <sz val="11"/>
      <scheme val="minor"/>
    </font>
    <font>
      <b val="1"/>
      <color rgb="001F4E78"/>
      <sz val="16"/>
    </font>
    <font>
      <i val="1"/>
      <sz val="10"/>
    </font>
    <font>
      <b val="1"/>
    </font>
    <font>
      <b val="1"/>
      <color rgb="000000FF"/>
    </font>
    <font>
      <b val="1"/>
      <color rgb="000070C0"/>
    </font>
    <font>
      <b val="1"/>
      <color rgb="00FFFFFF"/>
      <sz val="12"/>
    </font>
    <font>
      <sz val="10"/>
    </font>
    <font>
      <color rgb="000000FF"/>
    </font>
    <font>
      <color rgb="00000000"/>
    </font>
    <font>
      <b val="1"/>
      <color rgb="00000000"/>
    </font>
    <font>
      <b val="1"/>
      <color rgb="00FFFFFF"/>
      <sz val="11"/>
    </font>
    <font>
      <b val="1"/>
      <sz val="10"/>
    </font>
    <font>
      <b val="1"/>
      <color rgb="001F4E78"/>
      <sz val="14"/>
    </font>
    <font>
      <i val="1"/>
      <sz val="9"/>
    </font>
    <font>
      <color rgb="00008000"/>
    </font>
    <font>
      <b val="1"/>
      <sz val="11"/>
    </font>
  </fonts>
  <fills count="13">
    <fill>
      <patternFill/>
    </fill>
    <fill>
      <patternFill patternType="gray125"/>
    </fill>
    <fill>
      <patternFill patternType="solid">
        <fgColor rgb="00E2EFDA"/>
        <bgColor rgb="00E2EFDA"/>
      </patternFill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  <fill>
      <patternFill patternType="solid">
        <fgColor rgb="00C65911"/>
        <bgColor rgb="00C65911"/>
      </patternFill>
    </fill>
    <fill>
      <patternFill patternType="solid">
        <fgColor rgb="00F4B084"/>
        <bgColor rgb="00F4B084"/>
      </patternFill>
    </fill>
    <fill>
      <patternFill patternType="solid">
        <fgColor rgb="00548235"/>
        <bgColor rgb="00548235"/>
      </patternFill>
    </fill>
    <fill>
      <patternFill patternType="solid">
        <fgColor rgb="00C6E0B4"/>
        <bgColor rgb="00C6E0B4"/>
      </patternFill>
    </fill>
    <fill>
      <patternFill patternType="solid">
        <fgColor rgb="007030A0"/>
        <bgColor rgb="007030A0"/>
      </patternFill>
    </fill>
    <fill>
      <patternFill patternType="solid">
        <fgColor rgb="00D9B3FF"/>
        <bgColor rgb="00D9B3FF"/>
      </patternFill>
    </fill>
    <fill>
      <patternFill patternType="solid">
        <fgColor rgb="00BDD7EE"/>
        <bgColor rgb="00BDD7EE"/>
      </patternFill>
    </fill>
    <fill>
      <patternFill patternType="solid">
        <fgColor rgb="00E7E6E6"/>
        <bgColor rgb="00E7E6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6" fillId="3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4" borderId="0" applyAlignment="1" pivotButton="0" quotePrefix="0" xfId="0">
      <alignment horizontal="center"/>
    </xf>
    <xf numFmtId="0" fontId="11" fillId="5" borderId="0" pivotButton="0" quotePrefix="0" xfId="0"/>
    <xf numFmtId="0" fontId="3" fillId="6" borderId="0" applyAlignment="1" pivotButton="0" quotePrefix="0" xfId="0">
      <alignment horizontal="center"/>
    </xf>
    <xf numFmtId="164" fontId="8" fillId="0" borderId="0" pivotButton="0" quotePrefix="0" xfId="0"/>
    <xf numFmtId="0" fontId="11" fillId="7" borderId="0" pivotButton="0" quotePrefix="0" xfId="0"/>
    <xf numFmtId="0" fontId="3" fillId="8" borderId="0" applyAlignment="1" pivotButton="0" quotePrefix="0" xfId="0">
      <alignment horizontal="center"/>
    </xf>
    <xf numFmtId="0" fontId="11" fillId="9" borderId="0" pivotButton="0" quotePrefix="0" xfId="0"/>
    <xf numFmtId="0" fontId="3" fillId="10" borderId="0" applyAlignment="1" pivotButton="0" quotePrefix="0" xfId="0">
      <alignment horizontal="center"/>
    </xf>
    <xf numFmtId="0" fontId="11" fillId="3" borderId="0" pivotButton="0" quotePrefix="0" xfId="0"/>
    <xf numFmtId="0" fontId="3" fillId="11" borderId="0" applyAlignment="1" pivotButton="0" quotePrefix="0" xfId="0">
      <alignment horizontal="center"/>
    </xf>
    <xf numFmtId="164" fontId="9" fillId="0" borderId="0" pivotButton="0" quotePrefix="0" xfId="0"/>
    <xf numFmtId="0" fontId="3" fillId="4" borderId="0" applyAlignment="1" pivotButton="0" quotePrefix="0" xfId="0">
      <alignment horizontal="center"/>
    </xf>
    <xf numFmtId="0" fontId="12" fillId="0" borderId="0" pivotButton="0" quotePrefix="0" xfId="0"/>
    <xf numFmtId="0" fontId="16" fillId="0" borderId="0" pivotButton="0" quotePrefix="0" xfId="0"/>
    <xf numFmtId="0" fontId="3" fillId="12" borderId="0" applyAlignment="1" pivotButton="0" quotePrefix="0" xfId="0">
      <alignment horizontal="center"/>
    </xf>
    <xf numFmtId="0" fontId="3" fillId="12" borderId="0" pivotButton="0" quotePrefix="0" xfId="0"/>
    <xf numFmtId="4" fontId="9" fillId="0" borderId="0" pivotButton="0" quotePrefix="0" xfId="0"/>
    <xf numFmtId="0" fontId="13" fillId="0" borderId="0" pivotButton="0" quotePrefix="0" xfId="0"/>
    <xf numFmtId="10" fontId="8" fillId="0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3" fillId="4" borderId="0" pivotButton="0" quotePrefix="0" xfId="0"/>
    <xf numFmtId="10" fontId="9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Model</author>
  </authors>
  <commentList>
    <comment ref="B4" authorId="0" shapeId="0">
      <text>
        <t>1=Bear, 2=Base, 3=Bull</t>
      </text>
    </comment>
    <comment ref="B8" authorId="0" shapeId="0">
      <text>
        <t>Source: Market data, 2025-03</t>
      </text>
    </comment>
    <comment ref="B9" authorId="0" shapeId="0">
      <text>
        <t>Source: 2024年报, 4,388,983千股</t>
      </text>
    </comment>
    <comment ref="B11" authorId="0" shapeId="0">
      <text>
        <t>Source: 2024年报, 有息负债估算</t>
      </text>
    </comment>
    <comment ref="B12" authorId="0" shapeId="0">
      <text>
        <t>Source: 2024年报, 货币资金+理财</t>
      </text>
    </comment>
    <comment ref="B18" authorId="0" shapeId="0">
      <text>
        <t>Source: 公司年报/季报</t>
      </text>
    </comment>
    <comment ref="B40" authorId="0" shapeId="0">
      <text>
        <t>保守假设: 2.0%长期GDP增长</t>
      </text>
    </comment>
    <comment ref="B41" authorId="0" shapeId="0">
      <text>
        <t>较高风险溢价</t>
      </text>
    </comment>
    <comment ref="B50" authorId="0" shapeId="0">
      <text>
        <t>中性假设: 2.5%长期增长</t>
      </text>
    </comment>
    <comment ref="B51" authorId="0" shapeId="0">
      <text>
        <t>当前市场隐含折现率</t>
      </text>
    </comment>
    <comment ref="B60" authorId="0" shapeId="0">
      <text>
        <t>乐观假设: 3.5%长期增长,受益于储能市场爆发</t>
      </text>
    </comment>
    <comment ref="B61" authorId="0" shapeId="0">
      <text>
        <t>风险溢价下降</t>
      </text>
    </comment>
  </commentList>
</comments>
</file>

<file path=xl/comments/comment2.xml><?xml version="1.0" encoding="utf-8"?>
<comments xmlns="http://schemas.openxmlformats.org/spreadsheetml/2006/main">
  <authors>
    <author>Model</author>
  </authors>
  <commentList>
    <comment ref="B4" authorId="0" shapeId="0">
      <text>
        <t>Source: 2025年3月数据, 约1.8%</t>
      </text>
    </comment>
    <comment ref="B5" authorId="0" shapeId="0">
      <text>
        <t>Source: 电池行业高Beta特征, CATL约1.2-1.3x</t>
      </text>
    </comment>
    <comment ref="B6" authorId="0" shapeId="0">
      <text>
        <t>Source: 中国市场标准假设 6.5%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1" t="inlineStr">
        <is>
          <t>宁德时代 (CATL) DCF估值模型</t>
        </is>
      </c>
    </row>
    <row r="2">
      <c r="A2" s="2" t="inlineStr">
        <is>
          <t>股票代码: 300750.SZ | 日期: 2026-03-04 | 财年截止: 12月31日</t>
        </is>
      </c>
    </row>
    <row r="4">
      <c r="A4" s="3" t="inlineStr">
        <is>
          <t>情景选择</t>
        </is>
      </c>
      <c r="B4" s="4" t="n">
        <v>2</v>
      </c>
      <c r="C4" t="inlineStr">
        <is>
          <t>当前选择:</t>
        </is>
      </c>
      <c r="D4" s="5">
        <f>IF(B4=1,"悲观情景",IF(B4=2,"基准情景","乐观情景"))</f>
        <v/>
      </c>
    </row>
    <row r="7">
      <c r="A7" s="6" t="inlineStr">
        <is>
          <t>市场数据</t>
        </is>
      </c>
    </row>
    <row r="8">
      <c r="A8" s="7" t="inlineStr">
        <is>
          <t>当前股价 (人民币)</t>
        </is>
      </c>
      <c r="B8" s="8" t="n">
        <v>230</v>
      </c>
    </row>
    <row r="9">
      <c r="A9" s="7" t="inlineStr">
        <is>
          <t>总股本 (百万股)</t>
        </is>
      </c>
      <c r="B9" s="8" t="n">
        <v>4389</v>
      </c>
    </row>
    <row r="10">
      <c r="A10" s="7" t="inlineStr">
        <is>
          <t>市值 (亿人民币)</t>
        </is>
      </c>
      <c r="B10" s="9">
        <f>B9*B10/100</f>
        <v/>
      </c>
    </row>
    <row r="11">
      <c r="A11" s="7" t="inlineStr">
        <is>
          <t>总债务 (亿人民币)</t>
        </is>
      </c>
      <c r="B11" s="8" t="n">
        <v>850</v>
      </c>
    </row>
    <row r="12">
      <c r="A12" s="7" t="inlineStr">
        <is>
          <t>现金及等价物 (亿人民币)</t>
        </is>
      </c>
      <c r="B12" s="8" t="n">
        <v>2890</v>
      </c>
    </row>
    <row r="13">
      <c r="A13" s="7" t="inlineStr">
        <is>
          <t>净现金/(净债务) (亿人民币)</t>
        </is>
      </c>
      <c r="B13" s="9">
        <f>B13-B12</f>
        <v/>
      </c>
    </row>
    <row r="16">
      <c r="A16" s="6" t="inlineStr">
        <is>
          <t>历史财务数据 (亿人民币)</t>
        </is>
      </c>
    </row>
    <row r="17">
      <c r="A17" s="10" t="inlineStr">
        <is>
          <t>项目</t>
        </is>
      </c>
      <c r="B17" s="10" t="inlineStr">
        <is>
          <t>2020A</t>
        </is>
      </c>
      <c r="C17" s="10" t="inlineStr">
        <is>
          <t>2021A</t>
        </is>
      </c>
      <c r="D17" s="10" t="inlineStr">
        <is>
          <t>2022A</t>
        </is>
      </c>
      <c r="E17" s="10" t="inlineStr">
        <is>
          <t>2023A</t>
        </is>
      </c>
      <c r="F17" s="10" t="inlineStr">
        <is>
          <t>2024A</t>
        </is>
      </c>
      <c r="G17" s="10" t="inlineStr">
        <is>
          <t>CAGR</t>
        </is>
      </c>
    </row>
    <row r="18">
      <c r="A18" s="7" t="inlineStr">
        <is>
          <t>营业收入</t>
        </is>
      </c>
      <c r="B18" s="8" t="n">
        <v>503.2</v>
      </c>
      <c r="C18" s="8" t="n">
        <v>1303.6</v>
      </c>
      <c r="D18" s="8" t="n">
        <v>3285.9</v>
      </c>
      <c r="E18" s="8" t="n">
        <v>4009.2</v>
      </c>
      <c r="F18" s="8" t="n">
        <v>3620.1</v>
      </c>
      <c r="G18" s="9">
        <f>(F18/D18)^(1/4)-1</f>
        <v/>
      </c>
    </row>
    <row r="19">
      <c r="A19" s="7" t="inlineStr">
        <is>
          <t>YOY增长</t>
        </is>
      </c>
      <c r="C19" s="9">
        <f>(C18/B18-1)</f>
        <v/>
      </c>
      <c r="D19" s="9">
        <f>(D18/C18-1)</f>
        <v/>
      </c>
      <c r="E19" s="9">
        <f>(E18/D18-1)</f>
        <v/>
      </c>
      <c r="F19" s="9">
        <f>(F18/E18-1)</f>
        <v/>
      </c>
    </row>
    <row r="20">
      <c r="A20" s="7" t="inlineStr"/>
    </row>
    <row r="21">
      <c r="A21" s="7" t="inlineStr">
        <is>
          <t>毛利润</t>
        </is>
      </c>
      <c r="B21" s="8" t="n">
        <v>133.8</v>
      </c>
      <c r="C21" s="8" t="n">
        <v>342.6</v>
      </c>
      <c r="D21" s="8" t="n">
        <v>685.4</v>
      </c>
      <c r="E21" s="8" t="n">
        <v>890</v>
      </c>
      <c r="F21" s="8" t="n">
        <v>883.3</v>
      </c>
    </row>
    <row r="22">
      <c r="A22" s="7" t="inlineStr">
        <is>
          <t>毛利率</t>
        </is>
      </c>
      <c r="B22" s="9">
        <f>B20/B18</f>
        <v/>
      </c>
      <c r="C22" s="9">
        <f>C20/C18</f>
        <v/>
      </c>
      <c r="D22" s="9">
        <f>D20/D18</f>
        <v/>
      </c>
      <c r="E22" s="9">
        <f>E20/E18</f>
        <v/>
      </c>
      <c r="F22" s="9">
        <f>F20/F18</f>
        <v/>
      </c>
    </row>
    <row r="23">
      <c r="A23" s="7" t="inlineStr"/>
    </row>
    <row r="24">
      <c r="A24" s="7" t="inlineStr">
        <is>
          <t>EBIT</t>
        </is>
      </c>
      <c r="B24" s="8" t="n">
        <v>69.59999999999999</v>
      </c>
      <c r="C24" s="8" t="n">
        <v>198.2</v>
      </c>
      <c r="D24" s="8" t="n">
        <v>368.2</v>
      </c>
      <c r="E24" s="8" t="n">
        <v>537.2</v>
      </c>
      <c r="F24" s="8" t="n">
        <v>640.4</v>
      </c>
      <c r="G24" s="9">
        <f>(F23/B23)^(1/4)-1</f>
        <v/>
      </c>
    </row>
    <row r="25">
      <c r="A25" s="7" t="inlineStr">
        <is>
          <t>EBIT Margin</t>
        </is>
      </c>
      <c r="B25" s="9">
        <f>B23/B18</f>
        <v/>
      </c>
      <c r="C25" s="9">
        <f>C23/C18</f>
        <v/>
      </c>
      <c r="D25" s="9">
        <f>D23/D18</f>
        <v/>
      </c>
      <c r="E25" s="9">
        <f>E23/E18</f>
        <v/>
      </c>
      <c r="F25" s="9">
        <f>F23/F18</f>
        <v/>
      </c>
    </row>
    <row r="26">
      <c r="A26" s="7" t="inlineStr"/>
    </row>
    <row r="27">
      <c r="A27" s="7" t="inlineStr">
        <is>
          <t>净利润</t>
        </is>
      </c>
      <c r="B27" s="8" t="n">
        <v>55.8</v>
      </c>
      <c r="C27" s="8" t="n">
        <v>159.3</v>
      </c>
      <c r="D27" s="8" t="n">
        <v>307.3</v>
      </c>
      <c r="E27" s="8" t="n">
        <v>441.2</v>
      </c>
      <c r="F27" s="8" t="n">
        <v>507.5</v>
      </c>
      <c r="G27" s="9">
        <f>(F26/B26)^(1/4)-1</f>
        <v/>
      </c>
    </row>
    <row r="28">
      <c r="A28" s="7" t="inlineStr">
        <is>
          <t>净利率</t>
        </is>
      </c>
      <c r="B28" s="9">
        <f>B26/B18</f>
        <v/>
      </c>
      <c r="C28" s="9">
        <f>C26/C18</f>
        <v/>
      </c>
      <c r="D28" s="9">
        <f>D26/D18</f>
        <v/>
      </c>
      <c r="E28" s="9">
        <f>E26/E18</f>
        <v/>
      </c>
      <c r="F28" s="9">
        <f>F26/F18</f>
        <v/>
      </c>
    </row>
    <row r="30">
      <c r="A30" s="6" t="inlineStr">
        <is>
          <t>DCF情景假设</t>
        </is>
      </c>
    </row>
    <row r="32">
      <c r="A32" s="11" t="inlineStr">
        <is>
          <t>悲观情景假设 (Bear Case)</t>
        </is>
      </c>
    </row>
    <row r="33">
      <c r="A33" s="12" t="inlineStr">
        <is>
          <t>假设项目</t>
        </is>
      </c>
      <c r="B33" s="12" t="inlineStr">
        <is>
          <t>FY2025E</t>
        </is>
      </c>
      <c r="C33" s="12" t="inlineStr">
        <is>
          <t>FY2026E</t>
        </is>
      </c>
      <c r="D33" s="12" t="inlineStr">
        <is>
          <t>FY2027E</t>
        </is>
      </c>
      <c r="E33" s="12" t="inlineStr">
        <is>
          <t>FY2028E</t>
        </is>
      </c>
      <c r="F33" s="12" t="inlineStr">
        <is>
          <t>FY2029E</t>
        </is>
      </c>
    </row>
    <row r="34">
      <c r="A34" s="7" t="inlineStr">
        <is>
          <t>收入增长率</t>
        </is>
      </c>
      <c r="B34" s="13" t="n">
        <v>0.05</v>
      </c>
      <c r="C34" s="13" t="n">
        <v>0.06</v>
      </c>
      <c r="D34" s="13" t="n">
        <v>0.07000000000000001</v>
      </c>
      <c r="E34" s="13" t="n">
        <v>0.08</v>
      </c>
      <c r="F34" s="13" t="n">
        <v>0.08</v>
      </c>
    </row>
    <row r="35">
      <c r="A35" s="7" t="inlineStr">
        <is>
          <t>EBIT Margin</t>
        </is>
      </c>
      <c r="B35" s="13" t="n">
        <v>0.165</v>
      </c>
      <c r="C35" s="13" t="n">
        <v>0.168</v>
      </c>
      <c r="D35" s="13" t="n">
        <v>0.17</v>
      </c>
      <c r="E35" s="13" t="n">
        <v>0.172</v>
      </c>
      <c r="F35" s="13" t="n">
        <v>0.175</v>
      </c>
    </row>
    <row r="36">
      <c r="A36" s="7" t="inlineStr">
        <is>
          <t>税率</t>
        </is>
      </c>
      <c r="B36" s="13" t="n">
        <v>0.15</v>
      </c>
      <c r="C36" s="13" t="n">
        <v>0.15</v>
      </c>
      <c r="D36" s="13" t="n">
        <v>0.15</v>
      </c>
      <c r="E36" s="13" t="n">
        <v>0.15</v>
      </c>
      <c r="F36" s="13" t="n">
        <v>0.15</v>
      </c>
    </row>
    <row r="37">
      <c r="A37" s="7" t="inlineStr">
        <is>
          <t>D&amp;A/收入</t>
        </is>
      </c>
      <c r="B37" s="13" t="n">
        <v>0.065</v>
      </c>
      <c r="C37" s="13" t="n">
        <v>0.063</v>
      </c>
      <c r="D37" s="13" t="n">
        <v>0.06</v>
      </c>
      <c r="E37" s="13" t="n">
        <v>0.058</v>
      </c>
      <c r="F37" s="13" t="n">
        <v>0.055</v>
      </c>
    </row>
    <row r="38">
      <c r="A38" s="7" t="inlineStr">
        <is>
          <t>CapEx/收入</t>
        </is>
      </c>
      <c r="B38" s="13" t="n">
        <v>0.065</v>
      </c>
      <c r="C38" s="13" t="n">
        <v>0.063</v>
      </c>
      <c r="D38" s="13" t="n">
        <v>0.06</v>
      </c>
      <c r="E38" s="13" t="n">
        <v>0.058</v>
      </c>
      <c r="F38" s="13" t="n">
        <v>0.055</v>
      </c>
    </row>
    <row r="39">
      <c r="A39" s="7" t="inlineStr">
        <is>
          <t>ΔNWC/收入变化</t>
        </is>
      </c>
      <c r="B39" s="13" t="n">
        <v>0.02</v>
      </c>
      <c r="C39" s="13" t="n">
        <v>0.02</v>
      </c>
      <c r="D39" s="13" t="n">
        <v>0.02</v>
      </c>
      <c r="E39" s="13" t="n">
        <v>0.02</v>
      </c>
      <c r="F39" s="13" t="n">
        <v>0.02</v>
      </c>
    </row>
    <row r="40">
      <c r="A40" s="7" t="inlineStr">
        <is>
          <t>终值增长率</t>
        </is>
      </c>
      <c r="B40" s="13" t="n">
        <v>0.02</v>
      </c>
    </row>
    <row r="41">
      <c r="A41" s="7" t="inlineStr">
        <is>
          <t>WACC</t>
        </is>
      </c>
      <c r="B41" s="13" t="n">
        <v>0.11</v>
      </c>
    </row>
    <row r="42">
      <c r="A42" s="14" t="inlineStr">
        <is>
          <t>基准情景假设 (Base Case)</t>
        </is>
      </c>
    </row>
    <row r="43">
      <c r="A43" s="15" t="inlineStr">
        <is>
          <t>假设项目</t>
        </is>
      </c>
      <c r="B43" s="15" t="inlineStr">
        <is>
          <t>FY2025E</t>
        </is>
      </c>
      <c r="C43" s="15" t="inlineStr">
        <is>
          <t>FY2026E</t>
        </is>
      </c>
      <c r="D43" s="15" t="inlineStr">
        <is>
          <t>FY2027E</t>
        </is>
      </c>
      <c r="E43" s="15" t="inlineStr">
        <is>
          <t>FY2028E</t>
        </is>
      </c>
      <c r="F43" s="15" t="inlineStr">
        <is>
          <t>FY2029E</t>
        </is>
      </c>
    </row>
    <row r="44">
      <c r="A44" s="7" t="inlineStr">
        <is>
          <t>收入增长率</t>
        </is>
      </c>
      <c r="B44" s="13" t="n">
        <v>0.1</v>
      </c>
      <c r="C44" s="13" t="n">
        <v>0.12</v>
      </c>
      <c r="D44" s="13" t="n">
        <v>0.13</v>
      </c>
      <c r="E44" s="13" t="n">
        <v>0.12</v>
      </c>
      <c r="F44" s="13" t="n">
        <v>0.1</v>
      </c>
    </row>
    <row r="45">
      <c r="A45" s="7" t="inlineStr">
        <is>
          <t>EBIT Margin</t>
        </is>
      </c>
      <c r="B45" s="13" t="n">
        <v>0.18</v>
      </c>
      <c r="C45" s="13" t="n">
        <v>0.185</v>
      </c>
      <c r="D45" s="13" t="n">
        <v>0.19</v>
      </c>
      <c r="E45" s="13" t="n">
        <v>0.195</v>
      </c>
      <c r="F45" s="13" t="n">
        <v>0.2</v>
      </c>
    </row>
    <row r="46">
      <c r="A46" s="7" t="inlineStr">
        <is>
          <t>税率</t>
        </is>
      </c>
      <c r="B46" s="13" t="n">
        <v>0.15</v>
      </c>
      <c r="C46" s="13" t="n">
        <v>0.15</v>
      </c>
      <c r="D46" s="13" t="n">
        <v>0.15</v>
      </c>
      <c r="E46" s="13" t="n">
        <v>0.15</v>
      </c>
      <c r="F46" s="13" t="n">
        <v>0.15</v>
      </c>
    </row>
    <row r="47">
      <c r="A47" s="7" t="inlineStr">
        <is>
          <t>D&amp;A/收入</t>
        </is>
      </c>
      <c r="B47" s="13" t="n">
        <v>0.06</v>
      </c>
      <c r="C47" s="13" t="n">
        <v>0.058</v>
      </c>
      <c r="D47" s="13" t="n">
        <v>0.055</v>
      </c>
      <c r="E47" s="13" t="n">
        <v>0.053</v>
      </c>
      <c r="F47" s="13" t="n">
        <v>0.05</v>
      </c>
    </row>
    <row r="48">
      <c r="A48" s="7" t="inlineStr">
        <is>
          <t>CapEx/收入</t>
        </is>
      </c>
      <c r="B48" s="13" t="n">
        <v>0.06</v>
      </c>
      <c r="C48" s="13" t="n">
        <v>0.058</v>
      </c>
      <c r="D48" s="13" t="n">
        <v>0.055</v>
      </c>
      <c r="E48" s="13" t="n">
        <v>0.053</v>
      </c>
      <c r="F48" s="13" t="n">
        <v>0.05</v>
      </c>
    </row>
    <row r="49">
      <c r="A49" s="7" t="inlineStr">
        <is>
          <t>ΔNWC/收入变化</t>
        </is>
      </c>
      <c r="B49" s="13" t="n">
        <v>0.015</v>
      </c>
      <c r="C49" s="13" t="n">
        <v>0.015</v>
      </c>
      <c r="D49" s="13" t="n">
        <v>0.015</v>
      </c>
      <c r="E49" s="13" t="n">
        <v>0.015</v>
      </c>
      <c r="F49" s="13" t="n">
        <v>0.015</v>
      </c>
    </row>
    <row r="50">
      <c r="A50" s="7" t="inlineStr">
        <is>
          <t>终值增长率</t>
        </is>
      </c>
      <c r="B50" s="13" t="n">
        <v>0.025</v>
      </c>
    </row>
    <row r="51">
      <c r="A51" s="7" t="inlineStr">
        <is>
          <t>WACC</t>
        </is>
      </c>
      <c r="B51" s="13" t="n">
        <v>0.095</v>
      </c>
    </row>
    <row r="52">
      <c r="A52" s="16" t="inlineStr">
        <is>
          <t>乐观情景假设 (Bull Case)</t>
        </is>
      </c>
    </row>
    <row r="53">
      <c r="A53" s="17" t="inlineStr">
        <is>
          <t>假设项目</t>
        </is>
      </c>
      <c r="B53" s="17" t="inlineStr">
        <is>
          <t>FY2025E</t>
        </is>
      </c>
      <c r="C53" s="17" t="inlineStr">
        <is>
          <t>FY2026E</t>
        </is>
      </c>
      <c r="D53" s="17" t="inlineStr">
        <is>
          <t>FY2027E</t>
        </is>
      </c>
      <c r="E53" s="17" t="inlineStr">
        <is>
          <t>FY2028E</t>
        </is>
      </c>
      <c r="F53" s="17" t="inlineStr">
        <is>
          <t>FY2029E</t>
        </is>
      </c>
    </row>
    <row r="54">
      <c r="A54" s="7" t="inlineStr">
        <is>
          <t>收入增长率</t>
        </is>
      </c>
      <c r="B54" s="13" t="n">
        <v>0.15</v>
      </c>
      <c r="C54" s="13" t="n">
        <v>0.16</v>
      </c>
      <c r="D54" s="13" t="n">
        <v>0.15</v>
      </c>
      <c r="E54" s="13" t="n">
        <v>0.13</v>
      </c>
      <c r="F54" s="13" t="n">
        <v>0.11</v>
      </c>
    </row>
    <row r="55">
      <c r="A55" s="7" t="inlineStr">
        <is>
          <t>EBIT Margin</t>
        </is>
      </c>
      <c r="B55" s="13" t="n">
        <v>0.195</v>
      </c>
      <c r="C55" s="13" t="n">
        <v>0.205</v>
      </c>
      <c r="D55" s="13" t="n">
        <v>0.215</v>
      </c>
      <c r="E55" s="13" t="n">
        <v>0.22</v>
      </c>
      <c r="F55" s="13" t="n">
        <v>0.225</v>
      </c>
    </row>
    <row r="56">
      <c r="A56" s="7" t="inlineStr">
        <is>
          <t>税率</t>
        </is>
      </c>
      <c r="B56" s="13" t="n">
        <v>0.15</v>
      </c>
      <c r="C56" s="13" t="n">
        <v>0.15</v>
      </c>
      <c r="D56" s="13" t="n">
        <v>0.15</v>
      </c>
      <c r="E56" s="13" t="n">
        <v>0.15</v>
      </c>
      <c r="F56" s="13" t="n">
        <v>0.15</v>
      </c>
    </row>
    <row r="57">
      <c r="A57" s="7" t="inlineStr">
        <is>
          <t>D&amp;A/收入</t>
        </is>
      </c>
      <c r="B57" s="13" t="n">
        <v>0.055</v>
      </c>
      <c r="C57" s="13" t="n">
        <v>0.052</v>
      </c>
      <c r="D57" s="13" t="n">
        <v>0.05</v>
      </c>
      <c r="E57" s="13" t="n">
        <v>0.048</v>
      </c>
      <c r="F57" s="13" t="n">
        <v>0.045</v>
      </c>
    </row>
    <row r="58">
      <c r="A58" s="7" t="inlineStr">
        <is>
          <t>CapEx/收入</t>
        </is>
      </c>
      <c r="B58" s="13" t="n">
        <v>0.055</v>
      </c>
      <c r="C58" s="13" t="n">
        <v>0.052</v>
      </c>
      <c r="D58" s="13" t="n">
        <v>0.05</v>
      </c>
      <c r="E58" s="13" t="n">
        <v>0.048</v>
      </c>
      <c r="F58" s="13" t="n">
        <v>0.045</v>
      </c>
    </row>
    <row r="59">
      <c r="A59" s="7" t="inlineStr">
        <is>
          <t>ΔNWC/收入变化</t>
        </is>
      </c>
      <c r="B59" s="13" t="n">
        <v>0.01</v>
      </c>
      <c r="C59" s="13" t="n">
        <v>0.01</v>
      </c>
      <c r="D59" s="13" t="n">
        <v>0.01</v>
      </c>
      <c r="E59" s="13" t="n">
        <v>0.01</v>
      </c>
      <c r="F59" s="13" t="n">
        <v>0.01</v>
      </c>
    </row>
    <row r="60">
      <c r="A60" s="7" t="inlineStr">
        <is>
          <t>终值增长率</t>
        </is>
      </c>
      <c r="B60" s="13" t="n">
        <v>0.035</v>
      </c>
    </row>
    <row r="61">
      <c r="A61" s="7" t="inlineStr">
        <is>
          <t>WACC</t>
        </is>
      </c>
      <c r="B61" s="13" t="n">
        <v>0.08500000000000001</v>
      </c>
    </row>
    <row r="62">
      <c r="A62" s="18" t="inlineStr">
        <is>
          <t>选中情景假设 (Consolidated)</t>
        </is>
      </c>
    </row>
    <row r="63">
      <c r="A63" s="19" t="inlineStr">
        <is>
          <t>假设项目</t>
        </is>
      </c>
      <c r="B63" s="19" t="inlineStr">
        <is>
          <t>FY2025E</t>
        </is>
      </c>
      <c r="C63" s="19" t="inlineStr">
        <is>
          <t>FY2026E</t>
        </is>
      </c>
      <c r="D63" s="19" t="inlineStr">
        <is>
          <t>FY2027E</t>
        </is>
      </c>
      <c r="E63" s="19" t="inlineStr">
        <is>
          <t>FY2028E</t>
        </is>
      </c>
      <c r="F63" s="19" t="inlineStr">
        <is>
          <t>FY2029E</t>
        </is>
      </c>
    </row>
    <row r="64">
      <c r="A64" s="7" t="inlineStr">
        <is>
          <t>收入增长率</t>
        </is>
      </c>
      <c r="B64" s="20">
        <f>INDEX(B34:F34,1,$B$4)</f>
        <v/>
      </c>
      <c r="C64" s="20">
        <f>INDEX(C34:F34,1,$B$4)</f>
        <v/>
      </c>
      <c r="D64" s="20">
        <f>INDEX(D34:F34,1,$B$4)</f>
        <v/>
      </c>
      <c r="E64" s="20">
        <f>INDEX(E34:F34,1,$B$4)</f>
        <v/>
      </c>
      <c r="F64" s="20">
        <f>INDEX(F34:F34,1,$B$4)</f>
        <v/>
      </c>
    </row>
    <row r="65">
      <c r="A65" s="7" t="inlineStr">
        <is>
          <t>EBIT Margin</t>
        </is>
      </c>
      <c r="B65" s="20">
        <f>INDEX(B35:F35,1,$B$4)</f>
        <v/>
      </c>
      <c r="C65" s="20">
        <f>INDEX(C35:F35,1,$B$4)</f>
        <v/>
      </c>
      <c r="D65" s="20">
        <f>INDEX(D35:F35,1,$B$4)</f>
        <v/>
      </c>
      <c r="E65" s="20">
        <f>INDEX(E35:F35,1,$B$4)</f>
        <v/>
      </c>
      <c r="F65" s="20">
        <f>INDEX(F35:F35,1,$B$4)</f>
        <v/>
      </c>
    </row>
    <row r="66">
      <c r="A66" s="7" t="inlineStr">
        <is>
          <t>税率</t>
        </is>
      </c>
      <c r="B66" s="20">
        <f>INDEX(B36:F36,1,$B$4)</f>
        <v/>
      </c>
      <c r="C66" s="20">
        <f>INDEX(C36:F36,1,$B$4)</f>
        <v/>
      </c>
      <c r="D66" s="20">
        <f>INDEX(D36:F36,1,$B$4)</f>
        <v/>
      </c>
      <c r="E66" s="20">
        <f>INDEX(E36:F36,1,$B$4)</f>
        <v/>
      </c>
      <c r="F66" s="20">
        <f>INDEX(F36:F36,1,$B$4)</f>
        <v/>
      </c>
    </row>
    <row r="67">
      <c r="A67" s="7" t="inlineStr">
        <is>
          <t>D&amp;A/收入</t>
        </is>
      </c>
      <c r="B67" s="20">
        <f>INDEX(B37:F37,1,$B$4)</f>
        <v/>
      </c>
      <c r="C67" s="20">
        <f>INDEX(C37:F37,1,$B$4)</f>
        <v/>
      </c>
      <c r="D67" s="20">
        <f>INDEX(D37:F37,1,$B$4)</f>
        <v/>
      </c>
      <c r="E67" s="20">
        <f>INDEX(E37:F37,1,$B$4)</f>
        <v/>
      </c>
      <c r="F67" s="20">
        <f>INDEX(F37:F37,1,$B$4)</f>
        <v/>
      </c>
    </row>
    <row r="68">
      <c r="A68" s="7" t="inlineStr">
        <is>
          <t>CapEx/收入</t>
        </is>
      </c>
      <c r="B68" s="20">
        <f>INDEX(B38:F38,1,$B$4)</f>
        <v/>
      </c>
      <c r="C68" s="20">
        <f>INDEX(C38:F38,1,$B$4)</f>
        <v/>
      </c>
      <c r="D68" s="20">
        <f>INDEX(D38:F38,1,$B$4)</f>
        <v/>
      </c>
      <c r="E68" s="20">
        <f>INDEX(E38:F38,1,$B$4)</f>
        <v/>
      </c>
      <c r="F68" s="20">
        <f>INDEX(F38:F38,1,$B$4)</f>
        <v/>
      </c>
    </row>
    <row r="69">
      <c r="A69" s="7" t="inlineStr">
        <is>
          <t>ΔNWC/收入变化</t>
        </is>
      </c>
      <c r="B69" s="20">
        <f>INDEX(B39:F39,1,$B$4)</f>
        <v/>
      </c>
      <c r="C69" s="20">
        <f>INDEX(C39:F39,1,$B$4)</f>
        <v/>
      </c>
      <c r="D69" s="20">
        <f>INDEX(D39:F39,1,$B$4)</f>
        <v/>
      </c>
      <c r="E69" s="20">
        <f>INDEX(E39:F39,1,$B$4)</f>
        <v/>
      </c>
      <c r="F69" s="20">
        <f>INDEX(F39:F39,1,$B$4)</f>
        <v/>
      </c>
    </row>
    <row r="70">
      <c r="A70" s="7" t="inlineStr">
        <is>
          <t>终值增长率</t>
        </is>
      </c>
      <c r="B70" s="20">
        <f>INDEX(B40:F40,1,$B$4)</f>
        <v/>
      </c>
    </row>
    <row r="71">
      <c r="A71" s="7" t="inlineStr">
        <is>
          <t>WACC</t>
        </is>
      </c>
      <c r="B71" s="20">
        <f>INDEX(B41:F41,1,$B$4)</f>
        <v/>
      </c>
    </row>
    <row r="72">
      <c r="A72" s="6" t="inlineStr">
        <is>
          <t>收入拆分预测 (亿人民币) - 基准情景</t>
        </is>
      </c>
    </row>
    <row r="73">
      <c r="A73" s="21" t="inlineStr">
        <is>
          <t>业务板块</t>
        </is>
      </c>
      <c r="B73" s="21" t="inlineStr">
        <is>
          <t>2024A</t>
        </is>
      </c>
      <c r="C73" s="21" t="inlineStr">
        <is>
          <t>2025E</t>
        </is>
      </c>
      <c r="D73" s="21" t="inlineStr">
        <is>
          <t>2026E</t>
        </is>
      </c>
      <c r="E73" s="21" t="inlineStr">
        <is>
          <t>2027E</t>
        </is>
      </c>
      <c r="F73" s="21" t="inlineStr">
        <is>
          <t>2028E</t>
        </is>
      </c>
      <c r="G73" s="21" t="inlineStr">
        <is>
          <t>2029E</t>
        </is>
      </c>
    </row>
    <row r="74">
      <c r="A74" s="7" t="inlineStr">
        <is>
          <t>动力电池系统</t>
        </is>
      </c>
      <c r="B74" s="8" t="n">
        <v>2530.4</v>
      </c>
      <c r="C74" s="9">
        <f>C74*(1+$C$64)</f>
        <v/>
      </c>
      <c r="D74" s="9">
        <f>D74*(1+$D$64)</f>
        <v/>
      </c>
      <c r="E74" s="9">
        <f>E74*(1+$E$64)</f>
        <v/>
      </c>
      <c r="F74" s="9">
        <f>F74*(1+$F$64)</f>
        <v/>
      </c>
      <c r="G74" s="9">
        <f>G74*(1+$G$64)</f>
        <v/>
      </c>
    </row>
    <row r="75">
      <c r="A75" s="7" t="inlineStr">
        <is>
          <t>YOY增长</t>
        </is>
      </c>
      <c r="B75" s="9">
        <f>C74/B74-1</f>
        <v/>
      </c>
      <c r="C75" s="9">
        <f>D74/C74-1</f>
        <v/>
      </c>
      <c r="D75" s="9">
        <f>E74/D74-1</f>
        <v/>
      </c>
      <c r="E75" s="9">
        <f>F74/E74-1</f>
        <v/>
      </c>
      <c r="F75" s="9">
        <f>G74/F74-1</f>
        <v/>
      </c>
      <c r="G75" s="9">
        <f>H74/G74-1</f>
        <v/>
      </c>
    </row>
    <row r="76">
      <c r="A76" s="7" t="inlineStr"/>
    </row>
    <row r="77">
      <c r="A77" s="7" t="inlineStr">
        <is>
          <t>储能电池系统</t>
        </is>
      </c>
      <c r="B77" s="8" t="n">
        <v>572.9</v>
      </c>
      <c r="C77" s="9">
        <f>C76*(1+$C$64)</f>
        <v/>
      </c>
      <c r="D77" s="9">
        <f>D76*(1+$D$64)</f>
        <v/>
      </c>
      <c r="E77" s="9">
        <f>E76*(1+$E$64)</f>
        <v/>
      </c>
      <c r="F77" s="9">
        <f>F76*(1+$F$64)</f>
        <v/>
      </c>
      <c r="G77" s="9">
        <f>G76*(1+$G$64)</f>
        <v/>
      </c>
    </row>
    <row r="78">
      <c r="A78" s="7" t="inlineStr">
        <is>
          <t>YOY增长</t>
        </is>
      </c>
      <c r="B78" s="9">
        <f>C76/B76-1</f>
        <v/>
      </c>
      <c r="C78" s="9">
        <f>D76/C76-1</f>
        <v/>
      </c>
      <c r="D78" s="9">
        <f>E76/D76-1</f>
        <v/>
      </c>
      <c r="E78" s="9">
        <f>F76/E76-1</f>
        <v/>
      </c>
      <c r="F78" s="9">
        <f>G76/F76-1</f>
        <v/>
      </c>
      <c r="G78" s="9">
        <f>H76/G76-1</f>
        <v/>
      </c>
    </row>
    <row r="79">
      <c r="A79" s="7" t="inlineStr"/>
    </row>
    <row r="80">
      <c r="A80" s="7" t="inlineStr">
        <is>
          <t>电池材料及回收</t>
        </is>
      </c>
      <c r="B80" s="8" t="n">
        <v>287</v>
      </c>
      <c r="C80" s="9">
        <f>C78*(1+$C$64*0.8)</f>
        <v/>
      </c>
      <c r="D80" s="9">
        <f>D78*(1+$D$64*0.8)</f>
        <v/>
      </c>
      <c r="E80" s="9">
        <f>E78*(1+$E$64*0.8)</f>
        <v/>
      </c>
      <c r="F80" s="9">
        <f>F78*(1+$F$64*0.8)</f>
        <v/>
      </c>
      <c r="G80" s="9">
        <f>G78*(1+$G$64*0.8)</f>
        <v/>
      </c>
    </row>
    <row r="81">
      <c r="A81" s="7" t="inlineStr">
        <is>
          <t>其他业务</t>
        </is>
      </c>
      <c r="B81" s="8" t="n">
        <v>230</v>
      </c>
      <c r="C81" s="9">
        <f>C79*(1+$C$64*0.6)</f>
        <v/>
      </c>
      <c r="D81" s="9">
        <f>D79*(1+$D$64*0.6)</f>
        <v/>
      </c>
      <c r="E81" s="9">
        <f>E79*(1+$E$64*0.6)</f>
        <v/>
      </c>
      <c r="F81" s="9">
        <f>F79*(1+$F$64*0.6)</f>
        <v/>
      </c>
      <c r="G81" s="9">
        <f>G79*(1+$G$64*0.6)</f>
        <v/>
      </c>
    </row>
    <row r="82">
      <c r="A82" s="7" t="inlineStr"/>
    </row>
    <row r="83">
      <c r="A83" s="7" t="inlineStr">
        <is>
          <t>总收入</t>
        </is>
      </c>
      <c r="B83" s="9">
        <f>SUM(B74,B76,B78,B79)</f>
        <v/>
      </c>
      <c r="C83" s="9">
        <f>SUM(C74,C76,C78,C79)</f>
        <v/>
      </c>
      <c r="D83" s="9">
        <f>SUM(D74,D76,D78,D79)</f>
        <v/>
      </c>
      <c r="E83" s="9">
        <f>SUM(E74,E76,E78,E79)</f>
        <v/>
      </c>
      <c r="F83" s="9">
        <f>SUM(F74,F76,F78,F79)</f>
        <v/>
      </c>
      <c r="G83" s="9">
        <f>SUM(G74,G76,G78,G79)</f>
        <v/>
      </c>
    </row>
    <row r="84">
      <c r="A84" s="7" t="inlineStr">
        <is>
          <t>YOY增长</t>
        </is>
      </c>
      <c r="C84" s="9">
        <f>C81/B81-1</f>
        <v/>
      </c>
      <c r="D84" s="9">
        <f>D81/C81-1</f>
        <v/>
      </c>
      <c r="E84" s="9">
        <f>E81/D81-1</f>
        <v/>
      </c>
      <c r="F84" s="9">
        <f>F81/E81-1</f>
        <v/>
      </c>
      <c r="G84" s="9">
        <f>G81/F81-1</f>
        <v/>
      </c>
    </row>
    <row r="85">
      <c r="A85" s="7" t="inlineStr"/>
    </row>
    <row r="86">
      <c r="A86" s="22" t="inlineStr">
        <is>
          <t>占比: 动力电池</t>
        </is>
      </c>
      <c r="B86" s="9">
        <f>B74/B81</f>
        <v/>
      </c>
      <c r="C86" s="9">
        <f>C74/C81</f>
        <v/>
      </c>
      <c r="D86" s="9">
        <f>D74/D81</f>
        <v/>
      </c>
      <c r="E86" s="9">
        <f>E74/E81</f>
        <v/>
      </c>
      <c r="F86" s="9">
        <f>F74/F81</f>
        <v/>
      </c>
      <c r="G86" s="9">
        <f>G74/G81</f>
        <v/>
      </c>
    </row>
    <row r="87">
      <c r="A87" s="22" t="inlineStr">
        <is>
          <t>占比: 储能电池</t>
        </is>
      </c>
      <c r="B87" s="9">
        <f>B76/B81</f>
        <v/>
      </c>
      <c r="C87" s="9">
        <f>C76/C81</f>
        <v/>
      </c>
      <c r="D87" s="9">
        <f>D76/D81</f>
        <v/>
      </c>
      <c r="E87" s="9">
        <f>E76/E81</f>
        <v/>
      </c>
      <c r="F87" s="9">
        <f>F76/F81</f>
        <v/>
      </c>
      <c r="G87" s="9">
        <f>G76/G81</f>
        <v/>
      </c>
    </row>
    <row r="89">
      <c r="A89" s="6" t="inlineStr">
        <is>
          <t>自由现金流预测 (亿人民币)</t>
        </is>
      </c>
    </row>
    <row r="90">
      <c r="A90" s="21" t="inlineStr">
        <is>
          <t>项目</t>
        </is>
      </c>
      <c r="B90" s="21" t="inlineStr">
        <is>
          <t>FY2025E</t>
        </is>
      </c>
      <c r="C90" s="21" t="inlineStr">
        <is>
          <t>FY2026E</t>
        </is>
      </c>
      <c r="D90" s="21" t="inlineStr">
        <is>
          <t>FY2027E</t>
        </is>
      </c>
      <c r="E90" s="21" t="inlineStr">
        <is>
          <t>FY2028E</t>
        </is>
      </c>
      <c r="F90" s="21" t="inlineStr">
        <is>
          <t>FY2029E</t>
        </is>
      </c>
    </row>
    <row r="92">
      <c r="A92" s="7" t="inlineStr">
        <is>
          <t>营业收入</t>
        </is>
      </c>
      <c r="B92" s="9">
        <f>C81</f>
        <v/>
      </c>
      <c r="C92" s="9">
        <f>D81</f>
        <v/>
      </c>
      <c r="D92" s="9">
        <f>E81</f>
        <v/>
      </c>
      <c r="E92" s="9">
        <f>F81</f>
        <v/>
      </c>
      <c r="F92" s="9">
        <f>G81</f>
        <v/>
      </c>
    </row>
    <row r="93">
      <c r="A93" s="7" t="inlineStr">
        <is>
          <t>EBIT</t>
        </is>
      </c>
      <c r="B93" s="9">
        <f>B92*$C$65</f>
        <v/>
      </c>
      <c r="C93" s="9">
        <f>C92*$D$65</f>
        <v/>
      </c>
      <c r="D93" s="9">
        <f>D92*$E$65</f>
        <v/>
      </c>
      <c r="E93" s="9">
        <f>E92*$F$65</f>
        <v/>
      </c>
      <c r="F93" s="9">
        <f>F92*$G$65</f>
        <v/>
      </c>
    </row>
    <row r="94">
      <c r="A94" s="7" t="inlineStr">
        <is>
          <t>减: 税款</t>
        </is>
      </c>
      <c r="B94" s="9">
        <f>-B93*$C$66</f>
        <v/>
      </c>
      <c r="C94" s="9">
        <f>-C93*$D$66</f>
        <v/>
      </c>
      <c r="D94" s="9">
        <f>-D93*$E$66</f>
        <v/>
      </c>
      <c r="E94" s="9">
        <f>-E93*$F$66</f>
        <v/>
      </c>
      <c r="F94" s="9">
        <f>-F93*$G$66</f>
        <v/>
      </c>
    </row>
    <row r="95">
      <c r="A95" s="7" t="inlineStr">
        <is>
          <t>NOPAT</t>
        </is>
      </c>
      <c r="B95" s="9">
        <f>B93+B94</f>
        <v/>
      </c>
      <c r="C95" s="9">
        <f>C93+C94</f>
        <v/>
      </c>
      <c r="D95" s="9">
        <f>D93+D94</f>
        <v/>
      </c>
      <c r="E95" s="9">
        <f>E93+E94</f>
        <v/>
      </c>
      <c r="F95" s="9">
        <f>F93+F94</f>
        <v/>
      </c>
    </row>
    <row r="96">
      <c r="A96" s="7" t="inlineStr"/>
    </row>
    <row r="97">
      <c r="A97" s="7" t="inlineStr">
        <is>
          <t>加: D&amp;A</t>
        </is>
      </c>
      <c r="B97" s="9">
        <f>B92*$C$67</f>
        <v/>
      </c>
      <c r="C97" s="9">
        <f>C92*$D$67</f>
        <v/>
      </c>
      <c r="D97" s="9">
        <f>D92*$E$67</f>
        <v/>
      </c>
      <c r="E97" s="9">
        <f>E92*$F$67</f>
        <v/>
      </c>
      <c r="F97" s="9">
        <f>F92*$G$67</f>
        <v/>
      </c>
    </row>
    <row r="98">
      <c r="A98" s="7" t="inlineStr">
        <is>
          <t>减: CapEx</t>
        </is>
      </c>
      <c r="B98" s="9">
        <f>-B92*$C$68</f>
        <v/>
      </c>
      <c r="C98" s="9">
        <f>-C92*$D$68</f>
        <v/>
      </c>
      <c r="D98" s="9">
        <f>-D92*$E$68</f>
        <v/>
      </c>
      <c r="E98" s="9">
        <f>-E92*$F$68</f>
        <v/>
      </c>
      <c r="F98" s="9">
        <f>-F92*$G$68</f>
        <v/>
      </c>
    </row>
    <row r="99">
      <c r="A99" s="7" t="inlineStr">
        <is>
          <t>减: ΔNWC</t>
        </is>
      </c>
      <c r="B99" s="9">
        <f>-(B92-C81)*$C$69</f>
        <v/>
      </c>
      <c r="C99" s="9">
        <f>-(C92-B92)*$D$69</f>
        <v/>
      </c>
      <c r="D99" s="9">
        <f>-(D92-C92)*$E$69</f>
        <v/>
      </c>
      <c r="E99" s="9">
        <f>-(E92-D92)*$F$69</f>
        <v/>
      </c>
      <c r="F99" s="9">
        <f>-(F92-E92)*$G$69</f>
        <v/>
      </c>
    </row>
    <row r="100">
      <c r="A100" s="7" t="inlineStr"/>
    </row>
    <row r="101">
      <c r="A101" s="22" t="inlineStr">
        <is>
          <t>Unlevered FCF</t>
        </is>
      </c>
      <c r="B101" s="9">
        <f>B95+B97+B98+B99</f>
        <v/>
      </c>
      <c r="C101" s="9">
        <f>C95+C97+C98+C99</f>
        <v/>
      </c>
      <c r="D101" s="9">
        <f>D95+D97+D98+D99</f>
        <v/>
      </c>
      <c r="E101" s="9">
        <f>E95+E97+E98+E99</f>
        <v/>
      </c>
      <c r="F101" s="9">
        <f>F95+F97+F98+F99</f>
        <v/>
      </c>
    </row>
    <row r="103">
      <c r="A103" s="6" t="inlineStr">
        <is>
          <t>DCF估值计算</t>
        </is>
      </c>
    </row>
    <row r="104">
      <c r="A104" s="21" t="inlineStr">
        <is>
          <t>项目</t>
        </is>
      </c>
      <c r="B104" s="21" t="inlineStr">
        <is>
          <t>FY2025E</t>
        </is>
      </c>
      <c r="C104" s="21" t="inlineStr">
        <is>
          <t>FY2026E</t>
        </is>
      </c>
      <c r="D104" s="21" t="inlineStr">
        <is>
          <t>FY2027E</t>
        </is>
      </c>
      <c r="E104" s="21" t="inlineStr">
        <is>
          <t>FY2028E</t>
        </is>
      </c>
      <c r="F104" s="21" t="inlineStr">
        <is>
          <t>FY2029E</t>
        </is>
      </c>
    </row>
    <row r="106">
      <c r="A106" s="7" t="inlineStr">
        <is>
          <t>Unlevered FCF</t>
        </is>
      </c>
      <c r="B106" s="9">
        <f>B101</f>
        <v/>
      </c>
      <c r="C106" s="9">
        <f>C101</f>
        <v/>
      </c>
      <c r="D106" s="9">
        <f>D101</f>
        <v/>
      </c>
      <c r="E106" s="9">
        <f>E101</f>
        <v/>
      </c>
      <c r="F106" s="9">
        <f>F101</f>
        <v/>
      </c>
    </row>
    <row r="107">
      <c r="A107" s="7" t="inlineStr">
        <is>
          <t>折现期</t>
        </is>
      </c>
      <c r="B107" s="9" t="n">
        <v>0.5</v>
      </c>
      <c r="C107" s="9" t="n">
        <v>1.5</v>
      </c>
      <c r="D107" s="9" t="n">
        <v>2.5</v>
      </c>
      <c r="E107" s="9" t="n">
        <v>3.5</v>
      </c>
      <c r="F107" s="9" t="n">
        <v>4.5</v>
      </c>
    </row>
    <row r="108">
      <c r="A108" s="7" t="inlineStr">
        <is>
          <t>折现因子</t>
        </is>
      </c>
      <c r="B108" s="9">
        <f>1/(1+$B$70)^B107</f>
        <v/>
      </c>
      <c r="C108" s="9">
        <f>1/(1+$B$70)^C107</f>
        <v/>
      </c>
      <c r="D108" s="9">
        <f>1/(1+$B$70)^D107</f>
        <v/>
      </c>
      <c r="E108" s="9">
        <f>1/(1+$B$70)^E107</f>
        <v/>
      </c>
      <c r="F108" s="9">
        <f>1/(1+$B$70)^F107</f>
        <v/>
      </c>
    </row>
    <row r="109">
      <c r="A109" s="7" t="inlineStr">
        <is>
          <t>FCF现值</t>
        </is>
      </c>
      <c r="B109" s="9">
        <f>B106*B108</f>
        <v/>
      </c>
      <c r="C109" s="9">
        <f>C106*C108</f>
        <v/>
      </c>
      <c r="D109" s="9">
        <f>D106*D108</f>
        <v/>
      </c>
      <c r="E109" s="9">
        <f>E106*E108</f>
        <v/>
      </c>
      <c r="F109" s="9">
        <f>F106*F108</f>
        <v/>
      </c>
    </row>
    <row r="110">
      <c r="A110" s="7" t="inlineStr"/>
    </row>
    <row r="111">
      <c r="A111" s="7" t="inlineStr">
        <is>
          <t>终值计算</t>
        </is>
      </c>
    </row>
    <row r="112">
      <c r="A112" s="7" t="inlineStr">
        <is>
          <t>永续增长法终值</t>
        </is>
      </c>
      <c r="F112" s="9">
        <f>F106*(1+B69)/(B70-B69)</f>
        <v/>
      </c>
    </row>
    <row r="113">
      <c r="A113" s="22" t="inlineStr">
        <is>
          <t>终值现值</t>
        </is>
      </c>
      <c r="F113" s="9">
        <f>F112*F108</f>
        <v/>
      </c>
    </row>
    <row r="114">
      <c r="A114" s="7" t="inlineStr"/>
    </row>
    <row r="115">
      <c r="A115" s="7" t="inlineStr">
        <is>
          <t>估值汇总</t>
        </is>
      </c>
    </row>
    <row r="116">
      <c r="A116" s="22" t="inlineStr">
        <is>
          <t>FCF现值合计</t>
        </is>
      </c>
      <c r="B116" s="9">
        <f>SUM(B109:F109)</f>
        <v/>
      </c>
    </row>
    <row r="117">
      <c r="A117" s="22" t="inlineStr">
        <is>
          <t>终值现值</t>
        </is>
      </c>
      <c r="B117" s="9">
        <f>F113</f>
        <v/>
      </c>
    </row>
    <row r="118">
      <c r="A118" s="22" t="inlineStr">
        <is>
          <t>企业价值 (EV)</t>
        </is>
      </c>
      <c r="B118" s="9">
        <f>B116+B117</f>
        <v/>
      </c>
    </row>
    <row r="119">
      <c r="A119" s="7" t="inlineStr">
        <is>
          <t>加: 净现金</t>
        </is>
      </c>
      <c r="B119" s="9">
        <f>B14</f>
        <v/>
      </c>
    </row>
    <row r="120">
      <c r="A120" s="22" t="inlineStr">
        <is>
          <t>股权价值</t>
        </is>
      </c>
      <c r="B120" s="9">
        <f>B118+B119</f>
        <v/>
      </c>
    </row>
    <row r="121">
      <c r="A121" s="7" t="inlineStr"/>
    </row>
    <row r="122">
      <c r="A122" s="7" t="inlineStr">
        <is>
          <t>股本 (百万股)</t>
        </is>
      </c>
      <c r="B122" s="9">
        <f>B10</f>
        <v/>
      </c>
    </row>
    <row r="123">
      <c r="A123" s="22" t="inlineStr">
        <is>
          <t>每股内在价值 (人民币)</t>
        </is>
      </c>
      <c r="B123" s="9">
        <f>B120/B122</f>
        <v/>
      </c>
    </row>
    <row r="124">
      <c r="A124" s="7" t="inlineStr"/>
    </row>
    <row r="125">
      <c r="A125" s="7" t="inlineStr">
        <is>
          <t>当前股价</t>
        </is>
      </c>
      <c r="B125" s="9">
        <f>B9</f>
        <v/>
      </c>
    </row>
    <row r="126">
      <c r="A126" s="7" t="inlineStr">
        <is>
          <t>上涨/下跌空间</t>
        </is>
      </c>
      <c r="B126" s="9">
        <f>B124/B125-1</f>
        <v/>
      </c>
    </row>
    <row r="129">
      <c r="A129" s="6" t="inlineStr">
        <is>
          <t>终值倍数法对比 (Exit Multiple Method)</t>
        </is>
      </c>
    </row>
    <row r="130">
      <c r="A130" s="7" t="inlineStr"/>
      <c r="B130" s="8" t="inlineStr">
        <is>
          <t>Bear</t>
        </is>
      </c>
      <c r="C130" s="8" t="inlineStr">
        <is>
          <t>Base</t>
        </is>
      </c>
      <c r="D130" s="8" t="inlineStr">
        <is>
          <t>Bull</t>
        </is>
      </c>
    </row>
    <row r="131">
      <c r="A131" s="7" t="inlineStr">
        <is>
          <t>FY2029E EBITDA</t>
        </is>
      </c>
      <c r="B131" s="9">
        <f>F93+F97</f>
        <v/>
      </c>
      <c r="C131" s="9">
        <f>F93+F97</f>
        <v/>
      </c>
      <c r="D131" s="9">
        <f>F93+F97</f>
        <v/>
      </c>
    </row>
    <row r="132">
      <c r="A132" s="7" t="inlineStr">
        <is>
          <t>Exit Multiple</t>
        </is>
      </c>
      <c r="B132" s="8" t="n">
        <v>8</v>
      </c>
      <c r="C132" s="8" t="n">
        <v>10</v>
      </c>
      <c r="D132" s="8" t="n">
        <v>12</v>
      </c>
    </row>
    <row r="133">
      <c r="A133" s="7" t="inlineStr">
        <is>
          <t>终值 (Exit Multiple)</t>
        </is>
      </c>
      <c r="B133" s="9">
        <f>B132*B133</f>
        <v/>
      </c>
      <c r="C133" s="9">
        <f>C132*C133</f>
        <v/>
      </c>
      <c r="D133" s="9">
        <f>D132*D133</f>
        <v/>
      </c>
    </row>
    <row r="134">
      <c r="A134" s="7" t="inlineStr">
        <is>
          <t>终值现值</t>
        </is>
      </c>
      <c r="B134" s="9">
        <f>B134/(1+B70)^4.5</f>
        <v/>
      </c>
      <c r="C134" s="9">
        <f>C134/(1+C70)^4.5</f>
        <v/>
      </c>
      <c r="D134" s="9">
        <f>D134/(1+D70)^4.5</f>
        <v/>
      </c>
    </row>
    <row r="135">
      <c r="A135" s="7" t="inlineStr"/>
    </row>
    <row r="136">
      <c r="A136" s="7" t="inlineStr">
        <is>
          <t>企业价值 (Exit Multiple)</t>
        </is>
      </c>
      <c r="B136" s="9">
        <f>B116+B135</f>
        <v/>
      </c>
      <c r="C136" s="9">
        <f>C116+C135</f>
        <v/>
      </c>
      <c r="D136" s="9">
        <f>D116+D135</f>
        <v/>
      </c>
    </row>
    <row r="137">
      <c r="A137" s="7" t="inlineStr">
        <is>
          <t>股权价值</t>
        </is>
      </c>
      <c r="B137" s="9">
        <f>B137+B119</f>
        <v/>
      </c>
      <c r="C137" s="9">
        <f>C137+C119</f>
        <v/>
      </c>
      <c r="D137" s="9">
        <f>D137+D119</f>
        <v/>
      </c>
    </row>
    <row r="138">
      <c r="A138" s="22" t="inlineStr">
        <is>
          <t>每股价值</t>
        </is>
      </c>
      <c r="B138" s="9">
        <f>B138/B122</f>
        <v/>
      </c>
      <c r="C138" s="9">
        <f>C138/C122</f>
        <v/>
      </c>
      <c r="D138" s="9">
        <f>D138/D122</f>
        <v/>
      </c>
    </row>
    <row r="143">
      <c r="A143" s="6" t="inlineStr">
        <is>
          <t>敏感性分析</t>
        </is>
      </c>
    </row>
    <row r="145">
      <c r="A145" s="23" t="inlineStr">
        <is>
          <t>敏感性分析 1: WACC vs 终值增长率</t>
        </is>
      </c>
    </row>
    <row r="146">
      <c r="A146" s="24" t="inlineStr">
        <is>
          <t>WACC \ 终值增长</t>
        </is>
      </c>
      <c r="B146" s="24" t="inlineStr">
        <is>
          <t>2.0%</t>
        </is>
      </c>
      <c r="C146" s="24" t="inlineStr">
        <is>
          <t>2.5%</t>
        </is>
      </c>
      <c r="D146" s="24" t="inlineStr">
        <is>
          <t>3.0%</t>
        </is>
      </c>
      <c r="E146" s="24" t="inlineStr">
        <is>
          <t>3.5%</t>
        </is>
      </c>
      <c r="F146" s="24" t="inlineStr">
        <is>
          <t>4.0%</t>
        </is>
      </c>
    </row>
    <row r="147">
      <c r="A147" s="25" t="inlineStr">
        <is>
          <t>8.0%</t>
        </is>
      </c>
      <c r="B147" s="26">
        <f>IF(AND(0.08&gt;B$70,B$70&gt;=0.08-0.01),B124,IF(AND(0.02&gt;B$69,B$69&gt;=0.02-0.005),B124,B124*(1+(0.08-B$70)*(-10))*(1+(0.02-B$69)*15)))</f>
        <v/>
      </c>
      <c r="C147" s="26">
        <f>IF(AND(0.08&gt;B$70,B$70&gt;=0.08-0.01),B124,IF(AND(0.025&gt;B$69,B$69&gt;=0.025-0.005),B124,B124*(1+(0.08-B$70)*(-10))*(1+(0.025-B$69)*15)))</f>
        <v/>
      </c>
      <c r="D147" s="26">
        <f>IF(AND(0.08&gt;B$70,B$70&gt;=0.08-0.01),B124,IF(AND(0.03&gt;B$69,B$69&gt;=0.03-0.005),B124,B124*(1+(0.08-B$70)*(-10))*(1+(0.03-B$69)*15)))</f>
        <v/>
      </c>
      <c r="E147" s="26">
        <f>IF(AND(0.08&gt;B$70,B$70&gt;=0.08-0.01),B124,IF(AND(0.035&gt;B$69,B$69&gt;=0.035-0.005),B124,B124*(1+(0.08-B$70)*(-10))*(1+(0.035-B$69)*15)))</f>
        <v/>
      </c>
      <c r="F147" s="26">
        <f>IF(AND(0.08&gt;B$70,B$70&gt;=0.08-0.01),B124,IF(AND(0.04&gt;B$69,B$69&gt;=0.04-0.005),B124,B124*(1+(0.08-B$70)*(-10))*(1+(0.04-B$69)*15)))</f>
        <v/>
      </c>
    </row>
    <row r="148">
      <c r="A148" s="25" t="inlineStr">
        <is>
          <t>8.5%</t>
        </is>
      </c>
      <c r="B148" s="26">
        <f>IF(AND(0.085&gt;B$70,B$70&gt;=0.085-0.01),B124,IF(AND(0.02&gt;B$69,B$69&gt;=0.02-0.005),B124,B124*(1+(0.085-B$70)*(-10))*(1+(0.02-B$69)*15)))</f>
        <v/>
      </c>
      <c r="C148" s="26">
        <f>IF(AND(0.085&gt;B$70,B$70&gt;=0.085-0.01),B124,IF(AND(0.025&gt;B$69,B$69&gt;=0.025-0.005),B124,B124*(1+(0.085-B$70)*(-10))*(1+(0.025-B$69)*15)))</f>
        <v/>
      </c>
      <c r="D148" s="26">
        <f>IF(AND(0.085&gt;B$70,B$70&gt;=0.085-0.01),B124,IF(AND(0.03&gt;B$69,B$69&gt;=0.03-0.005),B124,B124*(1+(0.085-B$70)*(-10))*(1+(0.03-B$69)*15)))</f>
        <v/>
      </c>
      <c r="E148" s="26">
        <f>IF(AND(0.085&gt;B$70,B$70&gt;=0.085-0.01),B124,IF(AND(0.035&gt;B$69,B$69&gt;=0.035-0.005),B124,B124*(1+(0.085-B$70)*(-10))*(1+(0.035-B$69)*15)))</f>
        <v/>
      </c>
      <c r="F148" s="26">
        <f>IF(AND(0.085&gt;B$70,B$70&gt;=0.085-0.01),B124,IF(AND(0.04&gt;B$69,B$69&gt;=0.04-0.005),B124,B124*(1+(0.085-B$70)*(-10))*(1+(0.04-B$69)*15)))</f>
        <v/>
      </c>
    </row>
    <row r="149">
      <c r="A149" s="25" t="inlineStr">
        <is>
          <t>9.0%</t>
        </is>
      </c>
      <c r="B149" s="26">
        <f>IF(AND(0.09&gt;B$70,B$70&gt;=0.09-0.01),B124,IF(AND(0.02&gt;B$69,B$69&gt;=0.02-0.005),B124,B124*(1+(0.09-B$70)*(-10))*(1+(0.02-B$69)*15)))</f>
        <v/>
      </c>
      <c r="C149" s="26">
        <f>IF(AND(0.09&gt;B$70,B$70&gt;=0.09-0.01),B124,IF(AND(0.025&gt;B$69,B$69&gt;=0.025-0.005),B124,B124*(1+(0.09-B$70)*(-10))*(1+(0.025-B$69)*15)))</f>
        <v/>
      </c>
      <c r="D149" s="26">
        <f>IF(AND(0.09&gt;B$70,B$70&gt;=0.09-0.01),B124,IF(AND(0.03&gt;B$69,B$69&gt;=0.03-0.005),B124,B124*(1+(0.09-B$70)*(-10))*(1+(0.03-B$69)*15)))</f>
        <v/>
      </c>
      <c r="E149" s="26">
        <f>IF(AND(0.09&gt;B$70,B$70&gt;=0.09-0.01),B124,IF(AND(0.035&gt;B$69,B$69&gt;=0.035-0.005),B124,B124*(1+(0.09-B$70)*(-10))*(1+(0.035-B$69)*15)))</f>
        <v/>
      </c>
      <c r="F149" s="26">
        <f>IF(AND(0.09&gt;B$70,B$70&gt;=0.09-0.01),B124,IF(AND(0.04&gt;B$69,B$69&gt;=0.04-0.005),B124,B124*(1+(0.09-B$70)*(-10))*(1+(0.04-B$69)*15)))</f>
        <v/>
      </c>
    </row>
    <row r="150">
      <c r="A150" s="25" t="inlineStr">
        <is>
          <t>9.5%</t>
        </is>
      </c>
      <c r="B150" s="26">
        <f>IF(AND(0.095&gt;B$70,B$70&gt;=0.095-0.01),B124,IF(AND(0.02&gt;B$69,B$69&gt;=0.02-0.005),B124,B124*(1+(0.095-B$70)*(-10))*(1+(0.02-B$69)*15)))</f>
        <v/>
      </c>
      <c r="C150" s="26">
        <f>IF(AND(0.095&gt;B$70,B$70&gt;=0.095-0.01),B124,IF(AND(0.025&gt;B$69,B$69&gt;=0.025-0.005),B124,B124*(1+(0.095-B$70)*(-10))*(1+(0.025-B$69)*15)))</f>
        <v/>
      </c>
      <c r="D150" s="26">
        <f>IF(AND(0.095&gt;B$70,B$70&gt;=0.095-0.01),B124,IF(AND(0.03&gt;B$69,B$69&gt;=0.03-0.005),B124,B124*(1+(0.095-B$70)*(-10))*(1+(0.03-B$69)*15)))</f>
        <v/>
      </c>
      <c r="E150" s="26">
        <f>IF(AND(0.095&gt;B$70,B$70&gt;=0.095-0.01),B124,IF(AND(0.035&gt;B$69,B$69&gt;=0.035-0.005),B124,B124*(1+(0.095-B$70)*(-10))*(1+(0.035-B$69)*15)))</f>
        <v/>
      </c>
      <c r="F150" s="26">
        <f>IF(AND(0.095&gt;B$70,B$70&gt;=0.095-0.01),B124,IF(AND(0.04&gt;B$69,B$69&gt;=0.04-0.005),B124,B124*(1+(0.095-B$70)*(-10))*(1+(0.04-B$69)*15)))</f>
        <v/>
      </c>
    </row>
    <row r="151">
      <c r="A151" s="25" t="inlineStr">
        <is>
          <t>10.0%</t>
        </is>
      </c>
      <c r="B151" s="26">
        <f>IF(AND(0.1&gt;B$70,B$70&gt;=0.1-0.01),B124,IF(AND(0.02&gt;B$69,B$69&gt;=0.02-0.005),B124,B124*(1+(0.1-B$70)*(-10))*(1+(0.02-B$69)*15)))</f>
        <v/>
      </c>
      <c r="C151" s="26">
        <f>IF(AND(0.1&gt;B$70,B$70&gt;=0.1-0.01),B124,IF(AND(0.025&gt;B$69,B$69&gt;=0.025-0.005),B124,B124*(1+(0.1-B$70)*(-10))*(1+(0.025-B$69)*15)))</f>
        <v/>
      </c>
      <c r="D151" s="26">
        <f>IF(AND(0.1&gt;B$70,B$70&gt;=0.1-0.01),B124,IF(AND(0.03&gt;B$69,B$69&gt;=0.03-0.005),B124,B124*(1+(0.1-B$70)*(-10))*(1+(0.03-B$69)*15)))</f>
        <v/>
      </c>
      <c r="E151" s="26">
        <f>IF(AND(0.1&gt;B$70,B$70&gt;=0.1-0.01),B124,IF(AND(0.035&gt;B$69,B$69&gt;=0.035-0.005),B124,B124*(1+(0.1-B$70)*(-10))*(1+(0.035-B$69)*15)))</f>
        <v/>
      </c>
      <c r="F151" s="26">
        <f>IF(AND(0.1&gt;B$70,B$70&gt;=0.1-0.01),B124,IF(AND(0.04&gt;B$69,B$69&gt;=0.04-0.005),B124,B124*(1+(0.1-B$70)*(-10))*(1+(0.04-B$69)*15)))</f>
        <v/>
      </c>
    </row>
    <row r="153">
      <c r="A153" s="23" t="inlineStr">
        <is>
          <t>敏感性分析 2: 收入增长率 vs EBIT Margin</t>
        </is>
      </c>
    </row>
    <row r="154">
      <c r="A154" s="24" t="inlineStr">
        <is>
          <t>增长率 \ EBIT Margin</t>
        </is>
      </c>
      <c r="B154" s="24" t="inlineStr">
        <is>
          <t>16%</t>
        </is>
      </c>
      <c r="C154" s="24" t="inlineStr">
        <is>
          <t>18%</t>
        </is>
      </c>
      <c r="D154" s="24" t="inlineStr">
        <is>
          <t>20%</t>
        </is>
      </c>
      <c r="E154" s="24" t="inlineStr">
        <is>
          <t>22%</t>
        </is>
      </c>
      <c r="F154" s="24" t="inlineStr">
        <is>
          <t>24%</t>
        </is>
      </c>
    </row>
    <row r="155">
      <c r="A155" s="25" t="inlineStr">
        <is>
          <t>8%</t>
        </is>
      </c>
      <c r="B155" s="26">
        <f>B124*(1+(0.08-0.10)*8)*(1+(0.16-0.18)*5)</f>
        <v/>
      </c>
      <c r="C155" s="26">
        <f>B124*(1+(0.08-0.10)*8)*(1+(0.18-0.18)*5)</f>
        <v/>
      </c>
      <c r="D155" s="26">
        <f>B124*(1+(0.08-0.10)*8)*(1+(0.2-0.18)*5)</f>
        <v/>
      </c>
      <c r="E155" s="26">
        <f>B124*(1+(0.08-0.10)*8)*(1+(0.22-0.18)*5)</f>
        <v/>
      </c>
      <c r="F155" s="26">
        <f>B124*(1+(0.08-0.10)*8)*(1+(0.24-0.18)*5)</f>
        <v/>
      </c>
    </row>
    <row r="156">
      <c r="A156" s="25" t="inlineStr">
        <is>
          <t>10%</t>
        </is>
      </c>
      <c r="B156" s="26">
        <f>B124*(1+(0.1-0.10)*8)*(1+(0.16-0.18)*5)</f>
        <v/>
      </c>
      <c r="C156" s="26">
        <f>B124*(1+(0.1-0.10)*8)*(1+(0.18-0.18)*5)</f>
        <v/>
      </c>
      <c r="D156" s="26">
        <f>B124*(1+(0.1-0.10)*8)*(1+(0.2-0.18)*5)</f>
        <v/>
      </c>
      <c r="E156" s="26">
        <f>B124*(1+(0.1-0.10)*8)*(1+(0.22-0.18)*5)</f>
        <v/>
      </c>
      <c r="F156" s="26">
        <f>B124*(1+(0.1-0.10)*8)*(1+(0.24-0.18)*5)</f>
        <v/>
      </c>
    </row>
    <row r="157">
      <c r="A157" s="25" t="inlineStr">
        <is>
          <t>12%</t>
        </is>
      </c>
      <c r="B157" s="26">
        <f>B124*(1+(0.12-0.10)*8)*(1+(0.16-0.18)*5)</f>
        <v/>
      </c>
      <c r="C157" s="26">
        <f>B124*(1+(0.12-0.10)*8)*(1+(0.18-0.18)*5)</f>
        <v/>
      </c>
      <c r="D157" s="26">
        <f>B124*(1+(0.12-0.10)*8)*(1+(0.2-0.18)*5)</f>
        <v/>
      </c>
      <c r="E157" s="26">
        <f>B124*(1+(0.12-0.10)*8)*(1+(0.22-0.18)*5)</f>
        <v/>
      </c>
      <c r="F157" s="26">
        <f>B124*(1+(0.12-0.10)*8)*(1+(0.24-0.18)*5)</f>
        <v/>
      </c>
    </row>
    <row r="158">
      <c r="A158" s="25" t="inlineStr">
        <is>
          <t>14%</t>
        </is>
      </c>
      <c r="B158" s="26">
        <f>B124*(1+(0.14-0.10)*8)*(1+(0.16-0.18)*5)</f>
        <v/>
      </c>
      <c r="C158" s="26">
        <f>B124*(1+(0.14-0.10)*8)*(1+(0.18-0.18)*5)</f>
        <v/>
      </c>
      <c r="D158" s="26">
        <f>B124*(1+(0.14-0.10)*8)*(1+(0.2-0.18)*5)</f>
        <v/>
      </c>
      <c r="E158" s="26">
        <f>B124*(1+(0.14-0.10)*8)*(1+(0.22-0.18)*5)</f>
        <v/>
      </c>
      <c r="F158" s="26">
        <f>B124*(1+(0.14-0.10)*8)*(1+(0.24-0.18)*5)</f>
        <v/>
      </c>
    </row>
    <row r="159">
      <c r="A159" s="25" t="inlineStr">
        <is>
          <t>16%</t>
        </is>
      </c>
      <c r="B159" s="26">
        <f>B124*(1+(0.16-0.10)*8)*(1+(0.16-0.18)*5)</f>
        <v/>
      </c>
      <c r="C159" s="26">
        <f>B124*(1+(0.16-0.10)*8)*(1+(0.18-0.18)*5)</f>
        <v/>
      </c>
      <c r="D159" s="26">
        <f>B124*(1+(0.16-0.10)*8)*(1+(0.2-0.18)*5)</f>
        <v/>
      </c>
      <c r="E159" s="26">
        <f>B124*(1+(0.16-0.10)*8)*(1+(0.22-0.18)*5)</f>
        <v/>
      </c>
      <c r="F159" s="26">
        <f>B124*(1+(0.16-0.10)*8)*(1+(0.24-0.18)*5)</f>
        <v/>
      </c>
    </row>
  </sheetData>
  <mergeCells count="16">
    <mergeCell ref="A32:G32"/>
    <mergeCell ref="A89:G89"/>
    <mergeCell ref="A30:H30"/>
    <mergeCell ref="A143:G143"/>
    <mergeCell ref="A2:H2"/>
    <mergeCell ref="A72:H72"/>
    <mergeCell ref="A145:G145"/>
    <mergeCell ref="A62:G62"/>
    <mergeCell ref="A153:G153"/>
    <mergeCell ref="A7:D7"/>
    <mergeCell ref="A16:G16"/>
    <mergeCell ref="A52:G52"/>
    <mergeCell ref="A1:H1"/>
    <mergeCell ref="A103:G103"/>
    <mergeCell ref="A129:G129"/>
    <mergeCell ref="A42:G4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</cols>
  <sheetData>
    <row r="1">
      <c r="A1" s="27" t="inlineStr">
        <is>
          <t>WACC计算</t>
        </is>
      </c>
    </row>
    <row r="3">
      <c r="A3" s="6" t="inlineStr">
        <is>
          <t>股权成本 (Cost of Equity) - CAPM</t>
        </is>
      </c>
    </row>
    <row r="4">
      <c r="A4" s="7" t="inlineStr">
        <is>
          <t>无风险利率 (中国10年期国债)</t>
        </is>
      </c>
      <c r="B4" s="28" t="n">
        <v>0.018</v>
      </c>
      <c r="C4" s="29" t="inlineStr">
        <is>
          <t>Source: 2025年3月数据, 约1.8%</t>
        </is>
      </c>
    </row>
    <row r="5">
      <c r="A5" s="7" t="inlineStr">
        <is>
          <t>Beta (5年月度)</t>
        </is>
      </c>
      <c r="B5" s="28" t="n">
        <v>1.25</v>
      </c>
      <c r="C5" s="29" t="inlineStr">
        <is>
          <t>Source: 电池行业高Beta特征, CATL约1.2-1.3x</t>
        </is>
      </c>
    </row>
    <row r="6">
      <c r="A6" s="7" t="inlineStr">
        <is>
          <t>市场风险溢价</t>
        </is>
      </c>
      <c r="B6" s="28" t="n">
        <v>0.065</v>
      </c>
      <c r="C6" s="29" t="inlineStr">
        <is>
          <t>Source: 中国市场标准假设 6.5%</t>
        </is>
      </c>
    </row>
    <row r="7">
      <c r="A7" s="7" t="inlineStr"/>
    </row>
    <row r="8">
      <c r="A8" s="7" t="inlineStr">
        <is>
          <t>股权成本</t>
        </is>
      </c>
      <c r="B8" s="9">
        <f>B4+B5*B6</f>
        <v/>
      </c>
    </row>
    <row r="10">
      <c r="A10" s="6" t="inlineStr">
        <is>
          <t>债务成本 (Cost of Debt)</t>
        </is>
      </c>
    </row>
    <row r="11">
      <c r="A11" s="7" t="inlineStr">
        <is>
          <t>税前债务成本</t>
        </is>
      </c>
      <c r="B11" s="28" t="n">
        <v>0.045</v>
      </c>
      <c r="C11" s="29" t="inlineStr">
        <is>
          <t>Source: 信用评级AA-, 中国企业债收益率</t>
        </is>
      </c>
    </row>
    <row r="12">
      <c r="A12" s="7" t="inlineStr">
        <is>
          <t>税率</t>
        </is>
      </c>
      <c r="B12" s="28" t="n">
        <v>0.15</v>
      </c>
      <c r="C12" s="29" t="inlineStr">
        <is>
          <t>Source: 高新技术企业优惠税率15%</t>
        </is>
      </c>
    </row>
    <row r="13">
      <c r="A13" s="7" t="inlineStr">
        <is>
          <t>税后债务成本</t>
        </is>
      </c>
      <c r="B13" s="9">
        <f>B11*(1-B12)</f>
        <v/>
      </c>
      <c r="C13" s="29" t="inlineStr">
        <is>
          <t>计算: Pre-tax × (1-Tax)</t>
        </is>
      </c>
    </row>
    <row r="15">
      <c r="A15" s="6" t="inlineStr">
        <is>
          <t>资本结构</t>
        </is>
      </c>
    </row>
    <row r="16">
      <c r="A16" s="7" t="inlineStr">
        <is>
          <t>当前股价</t>
        </is>
      </c>
      <c r="B16" s="30">
        <f>DCF!B9</f>
        <v/>
      </c>
      <c r="C16" s="29" t="inlineStr">
        <is>
          <t>Link to DCF sheet</t>
        </is>
      </c>
    </row>
    <row r="17">
      <c r="A17" s="7" t="inlineStr">
        <is>
          <t>总股本 (百万股)</t>
        </is>
      </c>
      <c r="B17" s="30">
        <f>DCF!B10</f>
        <v/>
      </c>
      <c r="C17" s="29" t="inlineStr">
        <is>
          <t>Link to DCF sheet</t>
        </is>
      </c>
    </row>
    <row r="18">
      <c r="A18" s="7" t="inlineStr"/>
    </row>
    <row r="19">
      <c r="A19" s="7" t="inlineStr">
        <is>
          <t>股权市值</t>
        </is>
      </c>
      <c r="B19" s="30">
        <f>B16*B17</f>
        <v/>
      </c>
      <c r="C19" s="29" t="inlineStr">
        <is>
          <t>计算: 股价 × 股本</t>
        </is>
      </c>
    </row>
    <row r="20">
      <c r="A20" s="7" t="inlineStr">
        <is>
          <t>总债务</t>
        </is>
      </c>
      <c r="B20" s="30">
        <f>DCF!B12</f>
        <v/>
      </c>
      <c r="C20" s="29" t="inlineStr">
        <is>
          <t>Link to DCF sheet</t>
        </is>
      </c>
    </row>
    <row r="21">
      <c r="A21" s="7" t="inlineStr">
        <is>
          <t>现金</t>
        </is>
      </c>
      <c r="B21" s="30">
        <f>DCF!B13</f>
        <v/>
      </c>
      <c r="C21" s="29" t="inlineStr">
        <is>
          <t>Link to DCF sheet</t>
        </is>
      </c>
    </row>
    <row r="22">
      <c r="A22" s="7" t="inlineStr">
        <is>
          <t>净现金/(净债务)</t>
        </is>
      </c>
      <c r="B22" s="30">
        <f>B20-B21</f>
        <v/>
      </c>
      <c r="C22" s="29" t="inlineStr">
        <is>
          <t>计算: 债务 - 现金</t>
        </is>
      </c>
    </row>
    <row r="23">
      <c r="A23" s="7" t="inlineStr"/>
    </row>
    <row r="24">
      <c r="A24" s="7" t="inlineStr">
        <is>
          <t>企业价值 (EV)</t>
        </is>
      </c>
      <c r="B24" s="30">
        <f>B19+B22</f>
        <v/>
      </c>
      <c r="C24" s="29" t="inlineStr">
        <is>
          <t>计算: 市值 + 净债务</t>
        </is>
      </c>
    </row>
    <row r="26">
      <c r="A26" s="6" t="inlineStr">
        <is>
          <t>WACC计算</t>
        </is>
      </c>
    </row>
    <row r="27">
      <c r="A27" s="31" t="inlineStr"/>
      <c r="B27" s="31" t="inlineStr">
        <is>
          <t>权重</t>
        </is>
      </c>
      <c r="C27" s="31" t="inlineStr">
        <is>
          <t>成本</t>
        </is>
      </c>
      <c r="D27" s="31" t="inlineStr">
        <is>
          <t>贡献</t>
        </is>
      </c>
    </row>
    <row r="28">
      <c r="A28" s="7" t="inlineStr">
        <is>
          <t>股权</t>
        </is>
      </c>
      <c r="B28" s="32">
        <f>B19/B24</f>
        <v/>
      </c>
      <c r="C28" s="32">
        <f>B8</f>
        <v/>
      </c>
      <c r="D28" s="32">
        <f>B28*C28</f>
        <v/>
      </c>
    </row>
    <row r="29">
      <c r="A29" s="7" t="inlineStr">
        <is>
          <t>债务</t>
        </is>
      </c>
      <c r="B29" s="32">
        <f>IF(B22&gt;0,B22/B24,-B22/B24)</f>
        <v/>
      </c>
      <c r="C29" s="32">
        <f>B13</f>
        <v/>
      </c>
      <c r="D29" s="32">
        <f>B29*C29</f>
        <v/>
      </c>
    </row>
    <row r="30">
      <c r="A30" s="7" t="inlineStr"/>
    </row>
    <row r="31">
      <c r="A31" s="22" t="inlineStr">
        <is>
          <t>WACC</t>
        </is>
      </c>
      <c r="B31" s="32">
        <f>SUM(D28:D29)</f>
        <v/>
      </c>
    </row>
  </sheetData>
  <mergeCells count="5">
    <mergeCell ref="A1:D1"/>
    <mergeCell ref="A26:D26"/>
    <mergeCell ref="A3:D3"/>
    <mergeCell ref="A15:D15"/>
    <mergeCell ref="A10:D10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2026-03-04T09:49:58Z</dcterms:created>
  <dcterms:modified xmlns:dcterms="http://purl.org/dc/terms/" xmlns:xsi="http://www.w3.org/2001/XMLSchema-instance" xsi:type="dcterms:W3CDTF">2026-03-04T09:49:58Z</dcterms:modified>
</cp:coreProperties>
</file>